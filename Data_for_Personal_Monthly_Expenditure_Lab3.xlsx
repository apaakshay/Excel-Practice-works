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91703\Desktop\Excel worl\"/>
    </mc:Choice>
  </mc:AlternateContent>
  <xr:revisionPtr revIDLastSave="0" documentId="13_ncr:1_{12DB8058-FECC-4765-BFE1-3115491840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D21" i="1"/>
  <c r="E21" i="1"/>
  <c r="F21" i="1"/>
  <c r="G21" i="1"/>
  <c r="H21" i="1"/>
  <c r="B21" i="1"/>
  <c r="C20" i="1"/>
  <c r="D20" i="1"/>
  <c r="E20" i="1"/>
  <c r="F20" i="1"/>
  <c r="G20" i="1"/>
  <c r="H20" i="1"/>
  <c r="B20" i="1"/>
  <c r="B19" i="1"/>
  <c r="C18" i="1"/>
  <c r="D18" i="1"/>
  <c r="E18" i="1"/>
  <c r="F18" i="1"/>
  <c r="G18" i="1"/>
  <c r="H18" i="1"/>
  <c r="B18" i="1"/>
  <c r="C17" i="1"/>
  <c r="D17" i="1"/>
  <c r="E17" i="1"/>
  <c r="F17" i="1"/>
  <c r="G17" i="1"/>
  <c r="H17" i="1"/>
  <c r="B17" i="1"/>
  <c r="B16" i="1"/>
  <c r="C15" i="1"/>
  <c r="B15" i="1"/>
  <c r="C14" i="1"/>
  <c r="D14" i="1"/>
  <c r="E14" i="1"/>
  <c r="F14" i="1"/>
  <c r="G14" i="1"/>
  <c r="H14" i="1"/>
  <c r="B14" i="1"/>
  <c r="C19" i="1"/>
  <c r="D19" i="1"/>
  <c r="E19" i="1"/>
  <c r="F19" i="1"/>
  <c r="G19" i="1"/>
  <c r="H19" i="1"/>
  <c r="H2" i="1"/>
  <c r="H3" i="1"/>
  <c r="H4" i="1"/>
  <c r="H5" i="1"/>
  <c r="H6" i="1"/>
  <c r="H7" i="1"/>
  <c r="H8" i="1"/>
  <c r="H9" i="1"/>
  <c r="H10" i="1"/>
  <c r="H11" i="1"/>
  <c r="H12" i="1"/>
  <c r="H13" i="1"/>
  <c r="D15" i="1" l="1"/>
  <c r="D16" i="1" s="1"/>
  <c r="E15" i="1"/>
  <c r="E16" i="1" s="1"/>
  <c r="C16" i="1"/>
  <c r="H15" i="1"/>
  <c r="H16" i="1"/>
  <c r="F15" i="1"/>
  <c r="F16" i="1" s="1"/>
  <c r="G15" i="1"/>
  <c r="G16" i="1" s="1"/>
</calcChain>
</file>

<file path=xl/sharedStrings.xml><?xml version="1.0" encoding="utf-8"?>
<sst xmlns="http://schemas.openxmlformats.org/spreadsheetml/2006/main" count="28" uniqueCount="28">
  <si>
    <t>Month</t>
  </si>
  <si>
    <t>Housing</t>
  </si>
  <si>
    <t>Bills &amp; Utilities</t>
  </si>
  <si>
    <t>Food &amp; Dining</t>
  </si>
  <si>
    <t>Personal</t>
  </si>
  <si>
    <t>Auto &amp; Transport</t>
  </si>
  <si>
    <t>Health &amp; Fitness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</si>
  <si>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</si>
  <si>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</si>
  <si>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</si>
  <si>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</si>
  <si>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</si>
  <si>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</si>
  <si>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</si>
  <si>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</si>
  <si>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</si>
  <si>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</si>
  <si>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</si>
  <si>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</si>
  <si>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Subtotals</t>
  </si>
  <si>
    <t>TAX 20 %</t>
  </si>
  <si>
    <t>Total</t>
  </si>
  <si>
    <t>Monthly Total</t>
  </si>
  <si>
    <t>Avg</t>
  </si>
  <si>
    <t>Min</t>
  </si>
  <si>
    <t>Count</t>
  </si>
  <si>
    <t>Median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</si>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</sst>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£-809]#,##0.0"/>
  </numFmts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166" fontId="1" fillId="0" borderId="0" xfId="0" applyNumberFormat="1" applyFont="1" applyFill="1" applyBorder="1" applyAlignment="1">
      <alignment wrapText="1"/>
    </xf>
    <xf numFmtId="166" fontId="2" fillId="0" borderId="0" xfId="0" applyNumberFormat="1" applyFont="1" applyFill="1" applyBorder="1" applyAlignment="1">
      <alignment horizontal="left" vertical="top" wrapText="1"/>
    </xf>
    <xf numFmtId="166" fontId="0" fillId="0" borderId="0" xfId="0" applyNumberFormat="1"/>
    <xf numFmtId="166" fontId="2" fillId="0" borderId="0" xfId="0" applyNumberFormat="1" applyFont="1" applyFill="1" applyAlignment="1">
      <alignment horizontal="left" vertical="top" wrapText="1"/>
    </xf>
    <xf numFmtId="0" fontId="1" fillId="0" borderId="0" xfId="0" applyFont="1" applyFill="1" applyAlignment="1">
      <alignment wrapText="1"/>
    </xf>
    <xf numFmtId="0" fontId="3" fillId="0" borderId="0" xfId="0" applyFont="1" applyFill="1" applyAlignment="1">
      <alignment wrapText="1"/>
    </xf>
    <xf numFmtId="166" fontId="0" fillId="0" borderId="0" xfId="0" applyNumberFormat="1" applyFont="1" applyFill="1" applyAlignment="1">
      <alignment horizontal="left" vertical="top" wrapText="1"/>
    </xf>
    <xf numFmtId="1" fontId="0" fillId="0" borderId="0" xfId="0" applyNumberFormat="1" applyFont="1" applyFill="1" applyAlignment="1">
      <alignment horizontal="left" vertical="top" wrapTex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[$£-809]#,##0.0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[$£-809]#,##0.0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[$£-809]#,##0.0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[$£-809]#,##0.0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[$£-809]#,##0.0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[$£-809]#,##0.0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[$£-809]#,##0.0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C7F10A-FF6B-4E74-B3EA-35DFFF36A4F2}" name="Table2" displayName="Table2" ref="A1:H21" totalsRowShown="0" headerRowDxfId="8" dataDxfId="9">
  <autoFilter ref="A1:H21" xr:uid="{E6C7F10A-FF6B-4E74-B3EA-35DFFF36A4F2}"/>
  <tableColumns count="8">
    <tableColumn id="1" xr3:uid="{47B4883E-E233-49C4-959F-E601CCA58FE7}" name="Month" dataDxfId="7"/>
    <tableColumn id="2" xr3:uid="{1B526F75-9327-4AEE-BB2F-7EEC37C9D330}" name="Housing" dataDxfId="6"/>
    <tableColumn id="3" xr3:uid="{720E1DE1-A90C-4C9B-B652-0EA6DFC5A0E6}" name="Bills &amp; Utilities" dataDxfId="5"/>
    <tableColumn id="4" xr3:uid="{344BD26B-B7A8-49CF-AF08-843B35B6B120}" name="Food &amp; Dining" dataDxfId="4"/>
    <tableColumn id="5" xr3:uid="{E7C771CC-482E-45A3-9237-26BA788C647E}" name="Personal" dataDxfId="3"/>
    <tableColumn id="6" xr3:uid="{D710D037-CD73-40D8-9E77-C2795D7D63E8}" name="Auto &amp; Transport" dataDxfId="2"/>
    <tableColumn id="7" xr3:uid="{6412F2D7-AD6B-4E38-B718-5C74CBAB82B4}" name="Health &amp; Fitness" dataDxfId="1"/>
    <tableColumn id="10" xr3:uid="{CB45E369-F3EF-4C80-9CD1-0A3BA50D8EE0}" name="Monthly Total" dataDxfId="0">
      <calculatedColumnFormula>SUM(B2:G2)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="82" workbookViewId="0">
      <selection activeCell="H25" sqref="H25"/>
    </sheetView>
  </sheetViews>
  <sheetFormatPr defaultRowHeight="14.4" x14ac:dyDescent="0.3"/>
  <cols>
    <col min="1" max="1" width="13" customWidth="1"/>
    <col min="2" max="7" width="19.44140625" style="5" customWidth="1"/>
    <col min="8" max="8" width="15.5546875" bestFit="1" customWidth="1"/>
  </cols>
  <sheetData>
    <row r="1" spans="1:8" ht="17.25" customHeight="1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7" t="s">
        <v>22</v>
      </c>
    </row>
    <row r="2" spans="1:8" x14ac:dyDescent="0.3">
      <c r="A2" s="2" t="s">
        <v>7</v>
      </c>
      <c r="B2" s="4">
        <v>800</v>
      </c>
      <c r="C2" s="4">
        <v>210</v>
      </c>
      <c r="D2" s="4">
        <v>400</v>
      </c>
      <c r="E2" s="4">
        <v>100</v>
      </c>
      <c r="F2" s="4">
        <v>100</v>
      </c>
      <c r="G2" s="4">
        <v>60</v>
      </c>
      <c r="H2" s="6">
        <f t="shared" ref="H2:H13" si="0">SUM(B2:G2)</f>
        <v>1670</v>
      </c>
    </row>
    <row r="3" spans="1:8" x14ac:dyDescent="0.3">
      <c r="A3" s="2" t="s">
        <v>8</v>
      </c>
      <c r="B3" s="4">
        <v>800</v>
      </c>
      <c r="C3" s="4">
        <v>180</v>
      </c>
      <c r="D3" s="4">
        <v>350</v>
      </c>
      <c r="E3" s="4">
        <v>100</v>
      </c>
      <c r="F3" s="4">
        <v>125</v>
      </c>
      <c r="G3" s="4">
        <v>70</v>
      </c>
      <c r="H3" s="6">
        <f t="shared" si="0"/>
        <v>1625</v>
      </c>
    </row>
    <row r="4" spans="1:8" x14ac:dyDescent="0.3">
      <c r="A4" s="2" t="s">
        <v>9</v>
      </c>
      <c r="B4" s="4">
        <v>800</v>
      </c>
      <c r="C4" s="4">
        <v>170</v>
      </c>
      <c r="D4" s="4">
        <v>420</v>
      </c>
      <c r="E4" s="4">
        <v>100</v>
      </c>
      <c r="F4" s="4">
        <v>120</v>
      </c>
      <c r="G4" s="4">
        <v>60</v>
      </c>
      <c r="H4" s="6">
        <f t="shared" si="0"/>
        <v>1670</v>
      </c>
    </row>
    <row r="5" spans="1:8" x14ac:dyDescent="0.3">
      <c r="A5" s="2" t="s">
        <v>10</v>
      </c>
      <c r="B5" s="4">
        <v>800</v>
      </c>
      <c r="C5" s="4">
        <v>160</v>
      </c>
      <c r="D5" s="4">
        <v>400</v>
      </c>
      <c r="E5" s="4">
        <v>120</v>
      </c>
      <c r="F5" s="4">
        <v>100</v>
      </c>
      <c r="G5" s="4">
        <v>60</v>
      </c>
      <c r="H5" s="6">
        <f t="shared" si="0"/>
        <v>1640</v>
      </c>
    </row>
    <row r="6" spans="1:8" x14ac:dyDescent="0.3">
      <c r="A6" s="2" t="s">
        <v>11</v>
      </c>
      <c r="B6" s="4">
        <v>800</v>
      </c>
      <c r="C6" s="4">
        <v>150</v>
      </c>
      <c r="D6" s="4">
        <v>420</v>
      </c>
      <c r="E6" s="4">
        <v>100</v>
      </c>
      <c r="F6" s="4">
        <v>100</v>
      </c>
      <c r="G6" s="4">
        <v>80</v>
      </c>
      <c r="H6" s="6">
        <f t="shared" si="0"/>
        <v>1650</v>
      </c>
    </row>
    <row r="7" spans="1:8" x14ac:dyDescent="0.3">
      <c r="A7" s="2" t="s">
        <v>12</v>
      </c>
      <c r="B7" s="4">
        <v>800</v>
      </c>
      <c r="C7" s="4">
        <v>150</v>
      </c>
      <c r="D7" s="4">
        <v>380</v>
      </c>
      <c r="E7" s="4">
        <v>100</v>
      </c>
      <c r="F7" s="4">
        <v>130</v>
      </c>
      <c r="G7" s="4">
        <v>60</v>
      </c>
      <c r="H7" s="6">
        <f t="shared" si="0"/>
        <v>1620</v>
      </c>
    </row>
    <row r="8" spans="1:8" x14ac:dyDescent="0.3">
      <c r="A8" s="2" t="s">
        <v>13</v>
      </c>
      <c r="B8" s="4">
        <v>800</v>
      </c>
      <c r="C8" s="4">
        <v>150</v>
      </c>
      <c r="D8" s="4">
        <v>420</v>
      </c>
      <c r="E8" s="4">
        <v>120</v>
      </c>
      <c r="F8" s="4">
        <v>100</v>
      </c>
      <c r="G8" s="4">
        <v>60</v>
      </c>
      <c r="H8" s="6">
        <f t="shared" si="0"/>
        <v>1650</v>
      </c>
    </row>
    <row r="9" spans="1:8" x14ac:dyDescent="0.3">
      <c r="A9" s="2" t="s">
        <v>14</v>
      </c>
      <c r="B9" s="4">
        <v>800</v>
      </c>
      <c r="C9" s="4">
        <v>150</v>
      </c>
      <c r="D9" s="4">
        <v>420</v>
      </c>
      <c r="E9" s="4">
        <v>100</v>
      </c>
      <c r="F9" s="4">
        <v>100</v>
      </c>
      <c r="G9" s="4">
        <v>80</v>
      </c>
      <c r="H9" s="6">
        <f t="shared" si="0"/>
        <v>1650</v>
      </c>
    </row>
    <row r="10" spans="1:8" x14ac:dyDescent="0.3">
      <c r="A10" s="2" t="s">
        <v>15</v>
      </c>
      <c r="B10" s="4">
        <v>800</v>
      </c>
      <c r="C10" s="4">
        <v>150</v>
      </c>
      <c r="D10" s="4">
        <v>400</v>
      </c>
      <c r="E10" s="4">
        <v>120</v>
      </c>
      <c r="F10" s="4">
        <v>110</v>
      </c>
      <c r="G10" s="4">
        <v>60</v>
      </c>
      <c r="H10" s="6">
        <f t="shared" si="0"/>
        <v>1640</v>
      </c>
    </row>
    <row r="11" spans="1:8" x14ac:dyDescent="0.3">
      <c r="A11" s="2" t="s">
        <v>16</v>
      </c>
      <c r="B11" s="4">
        <v>800</v>
      </c>
      <c r="C11" s="4">
        <v>170</v>
      </c>
      <c r="D11" s="4">
        <v>420</v>
      </c>
      <c r="E11" s="4">
        <v>100</v>
      </c>
      <c r="F11" s="4">
        <v>100</v>
      </c>
      <c r="G11" s="4">
        <v>60</v>
      </c>
      <c r="H11" s="6">
        <f t="shared" si="0"/>
        <v>1650</v>
      </c>
    </row>
    <row r="12" spans="1:8" x14ac:dyDescent="0.3">
      <c r="A12" s="2" t="s">
        <v>17</v>
      </c>
      <c r="B12" s="4">
        <v>800</v>
      </c>
      <c r="C12" s="4">
        <v>200</v>
      </c>
      <c r="D12" s="4">
        <v>390</v>
      </c>
      <c r="E12" s="4">
        <v>120</v>
      </c>
      <c r="F12" s="4">
        <v>100</v>
      </c>
      <c r="G12" s="4">
        <v>50</v>
      </c>
      <c r="H12" s="6">
        <f t="shared" si="0"/>
        <v>1660</v>
      </c>
    </row>
    <row r="13" spans="1:8" x14ac:dyDescent="0.3">
      <c r="A13" s="2" t="s">
        <v>18</v>
      </c>
      <c r="B13" s="4">
        <v>800</v>
      </c>
      <c r="C13" s="4">
        <v>220</v>
      </c>
      <c r="D13" s="4">
        <v>400</v>
      </c>
      <c r="E13" s="4">
        <v>100</v>
      </c>
      <c r="F13" s="4">
        <v>115</v>
      </c>
      <c r="G13" s="4">
        <v>60</v>
      </c>
      <c r="H13" s="6">
        <f t="shared" si="0"/>
        <v>1695</v>
      </c>
    </row>
    <row r="14" spans="1:8" x14ac:dyDescent="0.3">
      <c r="A14" s="8" t="s">
        <v>19</v>
      </c>
      <c r="B14" s="9">
        <f>SUM(B1:B13)</f>
        <v>9600</v>
      </c>
      <c r="C14" s="9">
        <f t="shared" ref="C14:H14" si="1">SUM(C1:C13)</f>
        <v>2060</v>
      </c>
      <c r="D14" s="9">
        <f t="shared" si="1"/>
        <v>4820</v>
      </c>
      <c r="E14" s="9">
        <f t="shared" si="1"/>
        <v>1280</v>
      </c>
      <c r="F14" s="9">
        <f t="shared" si="1"/>
        <v>1300</v>
      </c>
      <c r="G14" s="9">
        <f t="shared" si="1"/>
        <v>760</v>
      </c>
      <c r="H14" s="9">
        <f t="shared" si="1"/>
        <v>19820</v>
      </c>
    </row>
    <row r="15" spans="1:8" x14ac:dyDescent="0.3">
      <c r="A15" s="8" t="s">
        <v>20</v>
      </c>
      <c r="B15" s="6">
        <f>SUM(B14*20%)</f>
        <v>1920</v>
      </c>
      <c r="C15" s="6">
        <f>SUM(C14*20%)</f>
        <v>412</v>
      </c>
      <c r="D15" s="6">
        <f>SUM(D14*20%)</f>
        <v>964</v>
      </c>
      <c r="E15" s="6">
        <f t="shared" ref="E15:H15" si="2">SUM(E14*20%)</f>
        <v>256</v>
      </c>
      <c r="F15" s="6">
        <f t="shared" si="2"/>
        <v>260</v>
      </c>
      <c r="G15" s="6">
        <f t="shared" si="2"/>
        <v>152</v>
      </c>
      <c r="H15" s="6">
        <f t="shared" si="2"/>
        <v>3964</v>
      </c>
    </row>
    <row r="16" spans="1:8" x14ac:dyDescent="0.3">
      <c r="A16" s="8" t="s">
        <v>21</v>
      </c>
      <c r="B16" s="6">
        <f>SUM(B14,B15)</f>
        <v>11520</v>
      </c>
      <c r="C16" s="6">
        <f t="shared" ref="C16:D16" si="3">SUM(C14,C15)</f>
        <v>2472</v>
      </c>
      <c r="D16" s="6">
        <f t="shared" si="3"/>
        <v>5784</v>
      </c>
      <c r="E16" s="6">
        <f t="shared" ref="E16" si="4">SUM(E14,E15)</f>
        <v>1536</v>
      </c>
      <c r="F16" s="6">
        <f t="shared" ref="F16" si="5">SUM(F14,F15)</f>
        <v>1560</v>
      </c>
      <c r="G16" s="6">
        <f t="shared" ref="G16" si="6">SUM(G14,G15)</f>
        <v>912</v>
      </c>
      <c r="H16" s="6">
        <f t="shared" ref="H16" si="7">SUM(H14,H15)</f>
        <v>23784</v>
      </c>
    </row>
    <row r="17" spans="1:8" x14ac:dyDescent="0.3">
      <c r="A17" s="8" t="s">
        <v>23</v>
      </c>
      <c r="B17" s="9">
        <f>AVERAGE(B2:B13)</f>
        <v>800</v>
      </c>
      <c r="C17" s="9">
        <f t="shared" ref="C17:H17" si="8">AVERAGE(C2:C13)</f>
        <v>171.66666666666666</v>
      </c>
      <c r="D17" s="9">
        <f t="shared" si="8"/>
        <v>401.66666666666669</v>
      </c>
      <c r="E17" s="9">
        <f t="shared" si="8"/>
        <v>106.66666666666667</v>
      </c>
      <c r="F17" s="9">
        <f t="shared" si="8"/>
        <v>108.33333333333333</v>
      </c>
      <c r="G17" s="9">
        <f t="shared" si="8"/>
        <v>63.333333333333336</v>
      </c>
      <c r="H17" s="9">
        <f t="shared" si="8"/>
        <v>1651.6666666666667</v>
      </c>
    </row>
    <row r="18" spans="1:8" x14ac:dyDescent="0.3">
      <c r="A18" s="8" t="s">
        <v>24</v>
      </c>
      <c r="B18" s="9">
        <f>MIN(B2:B13)</f>
        <v>800</v>
      </c>
      <c r="C18" s="9">
        <f t="shared" ref="C18:H18" si="9">MIN(C2:C13)</f>
        <v>150</v>
      </c>
      <c r="D18" s="9">
        <f t="shared" si="9"/>
        <v>350</v>
      </c>
      <c r="E18" s="9">
        <f t="shared" si="9"/>
        <v>100</v>
      </c>
      <c r="F18" s="9">
        <f t="shared" si="9"/>
        <v>100</v>
      </c>
      <c r="G18" s="9">
        <f t="shared" si="9"/>
        <v>50</v>
      </c>
      <c r="H18" s="9">
        <f t="shared" si="9"/>
        <v>1620</v>
      </c>
    </row>
    <row r="19" spans="1:8" x14ac:dyDescent="0.3">
      <c r="A19" s="8" t="s">
        <v>27</v>
      </c>
      <c r="B19" s="9">
        <f>MAX(B2:B13)</f>
        <v>800</v>
      </c>
      <c r="C19" s="6">
        <f>MAX(C2:C13)</f>
        <v>220</v>
      </c>
      <c r="D19" s="6">
        <f>MAX(D2:D13)</f>
        <v>420</v>
      </c>
      <c r="E19" s="6">
        <f>MAX(E2:E13)</f>
        <v>120</v>
      </c>
      <c r="F19" s="6">
        <f>MAX(F2:F13)</f>
        <v>130</v>
      </c>
      <c r="G19" s="6">
        <f>MAX(G2:G13)</f>
        <v>80</v>
      </c>
      <c r="H19" s="6">
        <f>MAX(H2:H13)</f>
        <v>1695</v>
      </c>
    </row>
    <row r="20" spans="1:8" x14ac:dyDescent="0.3">
      <c r="A20" s="8" t="s">
        <v>25</v>
      </c>
      <c r="B20" s="10">
        <f>COUNT(B2:B13)</f>
        <v>12</v>
      </c>
      <c r="C20" s="10">
        <f t="shared" ref="C20:H20" si="10">COUNT(C2:C13)</f>
        <v>12</v>
      </c>
      <c r="D20" s="10">
        <f t="shared" si="10"/>
        <v>12</v>
      </c>
      <c r="E20" s="10">
        <f t="shared" si="10"/>
        <v>12</v>
      </c>
      <c r="F20" s="10">
        <f t="shared" si="10"/>
        <v>12</v>
      </c>
      <c r="G20" s="10">
        <f t="shared" si="10"/>
        <v>12</v>
      </c>
      <c r="H20" s="10">
        <f t="shared" si="10"/>
        <v>12</v>
      </c>
    </row>
    <row r="21" spans="1:8" x14ac:dyDescent="0.3">
      <c r="A21" s="8" t="s">
        <v>26</v>
      </c>
      <c r="B21" s="9">
        <f>MEDIAN(B2:B13)</f>
        <v>800</v>
      </c>
      <c r="C21" s="9">
        <f t="shared" ref="C21:H21" si="11">MEDIAN(C2:C13)</f>
        <v>165</v>
      </c>
      <c r="D21" s="9">
        <f t="shared" si="11"/>
        <v>400</v>
      </c>
      <c r="E21" s="9">
        <f t="shared" si="11"/>
        <v>100</v>
      </c>
      <c r="F21" s="9">
        <f t="shared" si="11"/>
        <v>100</v>
      </c>
      <c r="G21" s="9">
        <f t="shared" si="11"/>
        <v>60</v>
      </c>
      <c r="H21" s="9">
        <f t="shared" si="11"/>
        <v>1650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91703</dc:creator>
  <cp:keywords/>
  <dc:description/>
  <cp:lastModifiedBy>ap7akshay7@outlook.com</cp:lastModifiedBy>
  <cp:revision/>
  <dcterms:created xsi:type="dcterms:W3CDTF">2024-06-06T11:50:39Z</dcterms:created>
  <dcterms:modified xsi:type="dcterms:W3CDTF">2025-07-20T16:17:39Z</dcterms:modified>
  <cp:category/>
  <cp:contentStatus/>
</cp:coreProperties>
</file>